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analyzer" sheetId="1" state="visible" r:id="rId1"/>
  </sheets>
  <definedNames>
    <definedName name="_xlnm.Print_Titles" localSheetId="0">'Deal analyzer'!$1:$8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"/>
    <numFmt numFmtId="166" formatCode="0.0%"/>
    <numFmt numFmtId="167" formatCode="0.00&quot; x&quot;"/>
  </numFmts>
  <fonts count="13">
    <font>
      <name val="Calibri"/>
      <family val="2"/>
      <color theme="1"/>
      <sz val="11"/>
      <scheme val="minor"/>
    </font>
    <font>
      <name val="Calibri"/>
      <b val="1"/>
      <color rgb="001F7A4D"/>
      <sz val="11"/>
    </font>
    <font>
      <name val="Calibri"/>
      <b val="1"/>
      <color rgb="002C2C2C"/>
      <sz val="20"/>
    </font>
    <font>
      <name val="Calibri"/>
      <i val="1"/>
      <color rgb="005C564E"/>
      <sz val="11"/>
    </font>
    <font>
      <name val="Calibri"/>
      <b val="1"/>
      <color rgb="002C2C2C"/>
      <sz val="12"/>
    </font>
    <font>
      <name val="Calibri"/>
      <sz val="12"/>
    </font>
    <font>
      <name val="Calibri"/>
      <color rgb="005C564E"/>
      <sz val="11"/>
    </font>
    <font>
      <name val="Calibri"/>
      <b val="1"/>
      <color rgb="00FFFFFF"/>
      <sz val="12"/>
    </font>
    <font>
      <name val="Calibri"/>
      <color rgb="002C2C2C"/>
      <sz val="12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FFFFFF"/>
      <sz val="11"/>
    </font>
    <font>
      <name val="Calibri"/>
      <color rgb="006B6560"/>
      <sz val="9"/>
    </font>
  </fonts>
  <fills count="9">
    <fill>
      <patternFill/>
    </fill>
    <fill>
      <patternFill patternType="gray125"/>
    </fill>
    <fill>
      <patternFill patternType="solid">
        <fgColor rgb="00E7F5EC"/>
      </patternFill>
    </fill>
    <fill>
      <patternFill patternType="solid">
        <fgColor rgb="00F7F1E8"/>
      </patternFill>
    </fill>
    <fill>
      <patternFill patternType="solid">
        <fgColor rgb="001F7A4D"/>
      </patternFill>
    </fill>
    <fill>
      <patternFill patternType="solid">
        <fgColor rgb="002C2C2C"/>
      </patternFill>
    </fill>
    <fill>
      <patternFill patternType="solid">
        <fgColor rgb="00FFFFFF"/>
      </patternFill>
    </fill>
    <fill>
      <patternFill patternType="solid">
        <fgColor rgb="00F6F1E8"/>
      </patternFill>
    </fill>
    <fill>
      <patternFill patternType="solid">
        <fgColor rgb="00E7D7C1"/>
      </patternFill>
    </fill>
  </fills>
  <borders count="3">
    <border>
      <left/>
      <right/>
      <top/>
      <bottom/>
      <diagonal/>
    </border>
    <border>
      <left style="medium">
        <color rgb="001F7A4D"/>
      </left>
      <right style="thin">
        <color rgb="00D9D0C3"/>
      </right>
      <top style="thin">
        <color rgb="00D9D0C3"/>
      </top>
      <bottom style="thin">
        <color rgb="00D9D0C3"/>
      </bottom>
    </border>
    <border>
      <left style="thin">
        <color rgb="00D9D0C3"/>
      </left>
      <right style="thin">
        <color rgb="00D9D0C3"/>
      </right>
      <top style="thin">
        <color rgb="00D9D0C3"/>
      </top>
      <bottom style="thin">
        <color rgb="00D9D0C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2" borderId="1" pivotButton="0" quotePrefix="0" xfId="0"/>
    <xf numFmtId="0" fontId="0" fillId="2" borderId="2" pivotButton="0" quotePrefix="0" xfId="0"/>
    <xf numFmtId="0" fontId="6" fillId="3" borderId="2" applyAlignment="1" pivotButton="0" quotePrefix="0" xfId="0">
      <alignment vertical="center" wrapText="1"/>
    </xf>
    <xf numFmtId="0" fontId="7" fillId="4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indent="1"/>
    </xf>
    <xf numFmtId="0" fontId="8" fillId="6" borderId="2" applyAlignment="1" pivotButton="0" quotePrefix="0" xfId="0">
      <alignment vertical="center" wrapText="1"/>
    </xf>
    <xf numFmtId="164" fontId="8" fillId="2" borderId="1" applyAlignment="1" pivotButton="0" quotePrefix="0" xfId="0">
      <alignment horizontal="right" vertical="center"/>
    </xf>
    <xf numFmtId="0" fontId="6" fillId="6" borderId="2" applyAlignment="1" pivotButton="0" quotePrefix="0" xfId="0">
      <alignment horizontal="center" vertical="center" wrapText="1"/>
    </xf>
    <xf numFmtId="165" fontId="8" fillId="2" borderId="1" applyAlignment="1" pivotButton="0" quotePrefix="0" xfId="0">
      <alignment horizontal="right" vertical="center"/>
    </xf>
    <xf numFmtId="0" fontId="4" fillId="3" borderId="2" applyAlignment="1" pivotButton="0" quotePrefix="0" xfId="0">
      <alignment vertical="center" wrapText="1"/>
    </xf>
    <xf numFmtId="164" fontId="4" fillId="7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center" vertical="center" wrapText="1"/>
    </xf>
    <xf numFmtId="164" fontId="9" fillId="4" borderId="2" applyAlignment="1" pivotButton="0" quotePrefix="0" xfId="0">
      <alignment horizontal="right" vertical="center"/>
    </xf>
    <xf numFmtId="0" fontId="10" fillId="4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vertical="center" wrapText="1"/>
    </xf>
    <xf numFmtId="166" fontId="4" fillId="7" borderId="2" applyAlignment="1" pivotButton="0" quotePrefix="0" xfId="0">
      <alignment horizontal="right" vertical="center"/>
    </xf>
    <xf numFmtId="167" fontId="4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vertical="center" wrapText="1"/>
    </xf>
    <xf numFmtId="0" fontId="0" fillId="8" borderId="2" pivotButton="0" quotePrefix="0" xfId="0"/>
    <xf numFmtId="0" fontId="1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047750" cy="904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F7A4D"/>
    <outlinePr summaryBelow="1" summaryRight="1"/>
    <pageSetUpPr fitToPage="1"/>
  </sheetPr>
  <dimension ref="B2:E42"/>
  <sheetViews>
    <sheetView showGridLines="0" zoomScale="12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  <col width="16" customWidth="1" min="4" max="4"/>
    <col width="62" customWidth="1" min="5" max="5"/>
  </cols>
  <sheetData>
    <row r="1" ht="6" customHeight="1"/>
    <row r="2" ht="22" customHeight="1">
      <c r="C2" s="1" t="inlineStr">
        <is>
          <t>RENTAL CASH FLOW LAB</t>
        </is>
      </c>
    </row>
    <row r="3" ht="28" customHeight="1">
      <c r="C3" s="2" t="inlineStr">
        <is>
          <t>Conservative Rental Deal Analyzer</t>
        </is>
      </c>
    </row>
    <row r="4" ht="36" customHeight="1">
      <c r="C4" s="3" t="inlineStr">
        <is>
          <t>Type in the green cells. Tan cells fill in on their own. A blank cost counts as $0. For a percent, type 8 for 8%.</t>
        </is>
      </c>
    </row>
    <row r="6" ht="24" customHeight="1">
      <c r="B6" s="4" t="inlineStr">
        <is>
          <t>Property</t>
        </is>
      </c>
      <c r="C6" s="5" t="n"/>
      <c r="D6" s="6" t="n"/>
      <c r="E6" s="7" t="inlineStr">
        <is>
          <t>Type the property name in the green cells.</t>
        </is>
      </c>
    </row>
    <row r="8" ht="22" customHeight="1">
      <c r="B8" s="8" t="inlineStr">
        <is>
          <t>Line</t>
        </is>
      </c>
      <c r="C8" s="8" t="inlineStr">
        <is>
          <t>Your number</t>
        </is>
      </c>
      <c r="D8" s="8" t="inlineStr">
        <is>
          <t>Unit</t>
        </is>
      </c>
      <c r="E8" s="8" t="inlineStr">
        <is>
          <t>How this line works</t>
        </is>
      </c>
    </row>
    <row r="9" ht="22" customHeight="1">
      <c r="B9" s="9" t="inlineStr">
        <is>
          <t>Income</t>
        </is>
      </c>
      <c r="C9" s="9" t="n"/>
      <c r="D9" s="9" t="n"/>
      <c r="E9" s="9" t="n"/>
    </row>
    <row r="10" ht="28" customHeight="1">
      <c r="B10" s="10" t="inlineStr">
        <is>
          <t>Purchase price</t>
        </is>
      </c>
      <c r="C10" s="11" t="n"/>
      <c r="D10" s="12" t="inlineStr">
        <is>
          <t>dollars</t>
        </is>
      </c>
      <c r="E10" s="7" t="inlineStr">
        <is>
          <t>The price you would pay. Used for cap rate.</t>
        </is>
      </c>
    </row>
    <row r="11" ht="28" customHeight="1">
      <c r="B11" s="10" t="inlineStr">
        <is>
          <t>Monthly scheduled rent</t>
        </is>
      </c>
      <c r="C11" s="11" t="n"/>
      <c r="D11" s="12" t="inlineStr">
        <is>
          <t>dollars a month</t>
        </is>
      </c>
      <c r="E11" s="7" t="inlineStr">
        <is>
          <t>What a similar rented home nearby gets. Not a hope.</t>
        </is>
      </c>
    </row>
    <row r="12" ht="28" customHeight="1">
      <c r="B12" s="10" t="inlineStr">
        <is>
          <t>Vacancy and unpaid rent</t>
        </is>
      </c>
      <c r="C12" s="13" t="n"/>
      <c r="D12" s="12" t="inlineStr">
        <is>
          <t>percent</t>
        </is>
      </c>
      <c r="E12" s="7" t="inlineStr">
        <is>
          <t>Type 8 for about one empty month a year. You can also type 8%.</t>
        </is>
      </c>
    </row>
    <row r="13" ht="28" customHeight="1">
      <c r="B13" s="14" t="inlineStr">
        <is>
          <t>Rent for the year, if always full</t>
        </is>
      </c>
      <c r="C13" s="15">
        <f>IF(C11="","",C11*12)</f>
        <v/>
      </c>
      <c r="D13" s="16" t="inlineStr">
        <is>
          <t>dollars a year</t>
        </is>
      </c>
      <c r="E13" s="7" t="inlineStr">
        <is>
          <t>Monthly rent times 12.</t>
        </is>
      </c>
    </row>
    <row r="14" ht="28" customHeight="1">
      <c r="B14" s="14" t="inlineStr">
        <is>
          <t>Rent you can count on</t>
        </is>
      </c>
      <c r="C14" s="15">
        <f>IF(C11="","",C11*12*(1-(IF(C12="",0,IF(C12&gt;1,C12/100,C12)))))</f>
        <v/>
      </c>
      <c r="D14" s="16" t="inlineStr">
        <is>
          <t>dollars a year</t>
        </is>
      </c>
      <c r="E14" s="7" t="inlineStr">
        <is>
          <t>Yearly rent after vacancy. This fills in as soon as you type the rent.</t>
        </is>
      </c>
    </row>
    <row r="15" ht="22" customHeight="1">
      <c r="B15" s="9" t="inlineStr">
        <is>
          <t>Costs you pay</t>
        </is>
      </c>
      <c r="C15" s="9" t="n"/>
      <c r="D15" s="9" t="n"/>
      <c r="E15" s="9" t="n"/>
    </row>
    <row r="16" ht="28" customHeight="1">
      <c r="B16" s="10" t="inlineStr">
        <is>
          <t>Property taxes</t>
        </is>
      </c>
      <c r="C16" s="11" t="n"/>
      <c r="D16" s="12" t="inlineStr">
        <is>
          <t>dollars a year</t>
        </is>
      </c>
      <c r="E16" s="7" t="inlineStr">
        <is>
          <t>This year's tax bill.</t>
        </is>
      </c>
    </row>
    <row r="17" ht="28" customHeight="1">
      <c r="B17" s="10" t="inlineStr">
        <is>
          <t>Insurance</t>
        </is>
      </c>
      <c r="C17" s="11" t="n"/>
      <c r="D17" s="12" t="inlineStr">
        <is>
          <t>dollars a year</t>
        </is>
      </c>
      <c r="E17" s="7" t="inlineStr">
        <is>
          <t>A current yearly quote.</t>
        </is>
      </c>
    </row>
    <row r="18" ht="28" customHeight="1">
      <c r="B18" s="10" t="inlineStr">
        <is>
          <t>Utilities you pay</t>
        </is>
      </c>
      <c r="C18" s="11" t="n"/>
      <c r="D18" s="12" t="inlineStr">
        <is>
          <t>dollars a month</t>
        </is>
      </c>
      <c r="E18" s="7" t="inlineStr">
        <is>
          <t>Only bills the owner pays. The sheet turns this into a yearly cost.</t>
        </is>
      </c>
    </row>
    <row r="19" ht="28" customHeight="1">
      <c r="B19" s="14" t="inlineStr">
        <is>
          <t>Utilities for the year</t>
        </is>
      </c>
      <c r="C19" s="15">
        <f>IF(C11="","",IF(C18="",0,C18)*12)</f>
        <v/>
      </c>
      <c r="D19" s="16" t="inlineStr">
        <is>
          <t>dollars a year</t>
        </is>
      </c>
      <c r="E19" s="7" t="inlineStr">
        <is>
          <t>Monthly utilities times 12.</t>
        </is>
      </c>
    </row>
    <row r="20" ht="28" customHeight="1">
      <c r="B20" s="10" t="inlineStr">
        <is>
          <t>Management</t>
        </is>
      </c>
      <c r="C20" s="13" t="n"/>
      <c r="D20" s="12" t="inlineStr">
        <is>
          <t>percent of rent</t>
        </is>
      </c>
      <c r="E20" s="7" t="inlineStr">
        <is>
          <t>What a manager charges. Type 8 for 8% of the rent you can count on. Type 0 if there is no manager.</t>
        </is>
      </c>
    </row>
    <row r="21" ht="28" customHeight="1">
      <c r="B21" s="14" t="inlineStr">
        <is>
          <t>Management for the year</t>
        </is>
      </c>
      <c r="C21" s="15">
        <f>IF(C11="","",C11*12*(1-(IF(C12="",0,IF(C12&gt;1,C12/100,C12))))*(IF(C20="",0,IF(C20&gt;1,C20/100,C20))))</f>
        <v/>
      </c>
      <c r="D21" s="16" t="inlineStr">
        <is>
          <t>dollars a year</t>
        </is>
      </c>
      <c r="E21" s="7" t="inlineStr">
        <is>
          <t>The rent you can count on, times the management percent.</t>
        </is>
      </c>
    </row>
    <row r="22" ht="28" customHeight="1">
      <c r="B22" s="10" t="inlineStr">
        <is>
          <t>Routine repairs</t>
        </is>
      </c>
      <c r="C22" s="11" t="n"/>
      <c r="D22" s="12" t="inlineStr">
        <is>
          <t>dollars a year</t>
        </is>
      </c>
      <c r="E22" s="7" t="inlineStr">
        <is>
          <t>Ordinary fixes. A new roof does not belong here.</t>
        </is>
      </c>
    </row>
    <row r="23" ht="28" customHeight="1">
      <c r="B23" s="10" t="inlineStr">
        <is>
          <t>HOA</t>
        </is>
      </c>
      <c r="C23" s="11" t="n"/>
      <c r="D23" s="12" t="inlineStr">
        <is>
          <t>dollars a month</t>
        </is>
      </c>
      <c r="E23" s="7" t="inlineStr">
        <is>
          <t>Monthly dues. Type 0 if there is no HOA. The sheet turns this into a yearly cost.</t>
        </is>
      </c>
    </row>
    <row r="24" ht="28" customHeight="1">
      <c r="B24" s="14" t="inlineStr">
        <is>
          <t>HOA for the year</t>
        </is>
      </c>
      <c r="C24" s="15">
        <f>IF(C11="","",IF(C23="",0,C23)*12)</f>
        <v/>
      </c>
      <c r="D24" s="16" t="inlineStr">
        <is>
          <t>dollars a year</t>
        </is>
      </c>
      <c r="E24" s="7" t="inlineStr">
        <is>
          <t>Monthly HOA times 12.</t>
        </is>
      </c>
    </row>
    <row r="25" ht="28" customHeight="1">
      <c r="B25" s="14" t="inlineStr">
        <is>
          <t>All operating costs for the year</t>
        </is>
      </c>
      <c r="C25" s="15">
        <f>IF(C11="","",IF(C16="",0,C16)+IF(C17="",0,C17)+C19+C21+IF(C22="",0,C22)+C24)</f>
        <v/>
      </c>
      <c r="D25" s="16" t="inlineStr">
        <is>
          <t>dollars a year</t>
        </is>
      </c>
      <c r="E25" s="7" t="inlineStr">
        <is>
          <t>Taxes, insurance, utilities, management, repairs, and HOA. A blank line counts as $0.</t>
        </is>
      </c>
    </row>
    <row r="26" ht="28" customHeight="1">
      <c r="B26" s="14" t="inlineStr">
        <is>
          <t>Net operating income</t>
        </is>
      </c>
      <c r="C26" s="15">
        <f>IF(C14="","",C14-C25)</f>
        <v/>
      </c>
      <c r="D26" s="16" t="inlineStr">
        <is>
          <t>dollars a year</t>
        </is>
      </c>
      <c r="E26" s="7" t="inlineStr">
        <is>
          <t>Rent you can count on, minus operating costs. The loan is not in this number.</t>
        </is>
      </c>
    </row>
    <row r="27" ht="22" customHeight="1">
      <c r="B27" s="9" t="inlineStr">
        <is>
          <t>The loan and what is left</t>
        </is>
      </c>
      <c r="C27" s="9" t="n"/>
      <c r="D27" s="9" t="n"/>
      <c r="E27" s="9" t="n"/>
    </row>
    <row r="28" ht="28" customHeight="1">
      <c r="B28" s="10" t="inlineStr">
        <is>
          <t>Loan payment</t>
        </is>
      </c>
      <c r="C28" s="11" t="n"/>
      <c r="D28" s="12" t="inlineStr">
        <is>
          <t>dollars a month</t>
        </is>
      </c>
      <c r="E28" s="7" t="inlineStr">
        <is>
          <t>Principal and interest only. Do not put taxes or insurance here.</t>
        </is>
      </c>
    </row>
    <row r="29" ht="28" customHeight="1">
      <c r="B29" s="14" t="inlineStr">
        <is>
          <t>Loan payments for the year</t>
        </is>
      </c>
      <c r="C29" s="15">
        <f>IF(C11="","",IF(C28="",0,C28)*12)</f>
        <v/>
      </c>
      <c r="D29" s="16" t="inlineStr">
        <is>
          <t>dollars a year</t>
        </is>
      </c>
      <c r="E29" s="7" t="inlineStr">
        <is>
          <t>Monthly loan payment times 12.</t>
        </is>
      </c>
    </row>
    <row r="30" ht="28" customHeight="1">
      <c r="B30" s="10" t="inlineStr">
        <is>
          <t>Savings for big repairs</t>
        </is>
      </c>
      <c r="C30" s="11" t="n"/>
      <c r="D30" s="12" t="inlineStr">
        <is>
          <t>dollars a year</t>
        </is>
      </c>
      <c r="E30" s="7" t="inlineStr">
        <is>
          <t>Roof, HVAC, and the like. Separate from routine repairs.</t>
        </is>
      </c>
    </row>
    <row r="31" ht="28" customHeight="1">
      <c r="B31" s="14" t="inlineStr">
        <is>
          <t>Cash left for the year</t>
        </is>
      </c>
      <c r="C31" s="15">
        <f>IF(C26="","",C26-C29-IF(C30="",0,C30))</f>
        <v/>
      </c>
      <c r="D31" s="16" t="inlineStr">
        <is>
          <t>dollars a year</t>
        </is>
      </c>
      <c r="E31" s="7" t="inlineStr">
        <is>
          <t>Net operating income, minus the loan, minus big-repair savings.</t>
        </is>
      </c>
    </row>
    <row r="32" ht="28" customHeight="1">
      <c r="B32" s="8" t="inlineStr">
        <is>
          <t>Cash left each month</t>
        </is>
      </c>
      <c r="C32" s="17">
        <f>IF(C31="","",C31/12)</f>
        <v/>
      </c>
      <c r="D32" s="18" t="inlineStr">
        <is>
          <t>dollars a month</t>
        </is>
      </c>
      <c r="E32" s="19" t="inlineStr">
        <is>
          <t>This is the number to look at first.</t>
        </is>
      </c>
    </row>
    <row r="33" ht="28" customHeight="1">
      <c r="B33" s="10" t="inlineStr">
        <is>
          <t>Cash you put in</t>
        </is>
      </c>
      <c r="C33" s="11" t="n"/>
      <c r="D33" s="12" t="inlineStr">
        <is>
          <t>dollars</t>
        </is>
      </c>
      <c r="E33" s="7" t="inlineStr">
        <is>
          <t>Down payment, closing costs, and upfront repairs.</t>
        </is>
      </c>
    </row>
    <row r="34" ht="22" customHeight="1">
      <c r="B34" s="9" t="inlineStr">
        <is>
          <t>Optional ratios</t>
        </is>
      </c>
      <c r="C34" s="9" t="n"/>
      <c r="D34" s="9" t="n"/>
      <c r="E34" s="9" t="n"/>
    </row>
    <row r="35" ht="28" customHeight="1">
      <c r="B35" s="14" t="inlineStr">
        <is>
          <t>Cap rate</t>
        </is>
      </c>
      <c r="C35" s="20">
        <f>IF(OR(C26="",C10="",C10&lt;=0),"",C26/C10)</f>
        <v/>
      </c>
      <c r="D35" s="16" t="inlineStr">
        <is>
          <t>percent</t>
        </is>
      </c>
      <c r="E35" s="7" t="inlineStr">
        <is>
          <t>Net operating income divided by the price.</t>
        </is>
      </c>
    </row>
    <row r="36" ht="28" customHeight="1">
      <c r="B36" s="14" t="inlineStr">
        <is>
          <t>Cash-on-cash</t>
        </is>
      </c>
      <c r="C36" s="20">
        <f>IF(OR(C31="",C33="",C33&lt;=0),"",C31/C33)</f>
        <v/>
      </c>
      <c r="D36" s="16" t="inlineStr">
        <is>
          <t>percent</t>
        </is>
      </c>
      <c r="E36" s="7" t="inlineStr">
        <is>
          <t>Cash left for the year divided by the cash you put in.</t>
        </is>
      </c>
    </row>
    <row r="37" ht="28" customHeight="1">
      <c r="B37" s="14" t="inlineStr">
        <is>
          <t>Debt coverage</t>
        </is>
      </c>
      <c r="C37" s="21">
        <f>IF(OR(C26="",C29="",C29&lt;=0),"",C26/C29)</f>
        <v/>
      </c>
      <c r="D37" s="16" t="inlineStr">
        <is>
          <t>times</t>
        </is>
      </c>
      <c r="E37" s="7" t="inlineStr">
        <is>
          <t>Net operating income divided by the yearly loan payments.</t>
        </is>
      </c>
    </row>
    <row r="38" ht="28" customHeight="1">
      <c r="B38" s="14" t="inlineStr">
        <is>
          <t>Break-even occupancy</t>
        </is>
      </c>
      <c r="C38" s="20">
        <f>IF(OR(C13="",C13&lt;=0,C25=""),"",(C25+C29+IF(C30="",0,C30))/C13)</f>
        <v/>
      </c>
      <c r="D38" s="16" t="inlineStr">
        <is>
          <t>percent</t>
        </is>
      </c>
      <c r="E38" s="7" t="inlineStr">
        <is>
          <t>Costs, loan, and big-repair savings divided by a full year of rent. Above 100% means full occupancy still does not cover them.</t>
        </is>
      </c>
    </row>
    <row r="40" ht="32" customHeight="1">
      <c r="B40" s="22" t="inlineStr">
        <is>
          <t>If cash left each month is above $0, it may be worth a closer look. If it is $0 or less, or the rent or the loan is a guess, pass for now.</t>
        </is>
      </c>
      <c r="C40" s="23" t="n"/>
      <c r="D40" s="23" t="n"/>
      <c r="E40" s="23" t="n"/>
    </row>
    <row r="42" ht="28" customHeight="1">
      <c r="B42" s="24" t="inlineStr">
        <is>
          <t>Educational estimates from your own inputs. Real estate can lose money. Jay Adams is not a broker, lender, tax preparer, attorney, or adviser. rentalcashflowlab.com</t>
        </is>
      </c>
    </row>
  </sheetData>
  <mergeCells count="10">
    <mergeCell ref="C2:E2"/>
    <mergeCell ref="B40:E40"/>
    <mergeCell ref="B9:E9"/>
    <mergeCell ref="B27:E27"/>
    <mergeCell ref="C6:D6"/>
    <mergeCell ref="C4:E4"/>
    <mergeCell ref="B15:E15"/>
    <mergeCell ref="C3:E3"/>
    <mergeCell ref="B34:E34"/>
    <mergeCell ref="B42:E42"/>
  </mergeCells>
  <pageMargins left="0.4" right="0.4" top="0.4" bottom="0.45" header="0.15" footer="0.22"/>
  <pageSetup orientation="landscape" paperSize="3" fitToHeight="1" fitToWidth="1"/>
  <headerFooter>
    <oddHeader/>
    <oddFooter>&amp;LRental Cash Flow Lab&amp;Crentalcashflowlab.com&amp;REducational estimates. Not advice.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2026-10-04T14:05:22Z</dcterms:created>
  <dcterms:modified xsi:type="dcterms:W3CDTF">2026-10-04T14:05:22Z</dcterms:modified>
</cp:coreProperties>
</file>